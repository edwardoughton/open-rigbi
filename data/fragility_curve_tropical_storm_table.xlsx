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oughton\Desktop\Github\open-rigbi\data\"/>
    </mc:Choice>
  </mc:AlternateContent>
  <xr:revisionPtr revIDLastSave="0" documentId="13_ncr:40009_{FB78DF6A-22DC-43F4-931D-B025111260CA}" xr6:coauthVersionLast="47" xr6:coauthVersionMax="47" xr10:uidLastSave="{00000000-0000-0000-0000-000000000000}"/>
  <bookViews>
    <workbookView xWindow="-108" yWindow="-108" windowWidth="30936" windowHeight="16776"/>
  </bookViews>
  <sheets>
    <sheet name="fragility_curve_tropical_stor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1" i="1" l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N20" i="1"/>
  <c r="M20" i="1"/>
  <c r="L25" i="1"/>
  <c r="K26" i="1"/>
  <c r="I26" i="1" s="1"/>
  <c r="L26" i="1"/>
  <c r="K27" i="1"/>
  <c r="I27" i="1" s="1"/>
  <c r="L27" i="1"/>
  <c r="K4" i="1"/>
  <c r="I4" i="1" s="1"/>
  <c r="L4" i="1"/>
  <c r="L21" i="1" s="1"/>
  <c r="K5" i="1"/>
  <c r="I5" i="1" s="1"/>
  <c r="L5" i="1"/>
  <c r="L22" i="1" s="1"/>
  <c r="K6" i="1"/>
  <c r="I6" i="1" s="1"/>
  <c r="L6" i="1"/>
  <c r="L23" i="1" s="1"/>
  <c r="K7" i="1"/>
  <c r="I7" i="1" s="1"/>
  <c r="L7" i="1"/>
  <c r="L24" i="1" s="1"/>
  <c r="K8" i="1"/>
  <c r="I8" i="1" s="1"/>
  <c r="L8" i="1"/>
  <c r="K9" i="1"/>
  <c r="I9" i="1" s="1"/>
  <c r="L9" i="1"/>
  <c r="K10" i="1"/>
  <c r="I10" i="1" s="1"/>
  <c r="L10" i="1"/>
  <c r="K11" i="1"/>
  <c r="I11" i="1" s="1"/>
  <c r="L11" i="1"/>
  <c r="L28" i="1" s="1"/>
  <c r="K12" i="1"/>
  <c r="I12" i="1" s="1"/>
  <c r="L12" i="1"/>
  <c r="L29" i="1" s="1"/>
  <c r="K13" i="1"/>
  <c r="I13" i="1" s="1"/>
  <c r="L13" i="1"/>
  <c r="L30" i="1" s="1"/>
  <c r="K14" i="1"/>
  <c r="I14" i="1" s="1"/>
  <c r="L14" i="1"/>
  <c r="L31" i="1" s="1"/>
  <c r="K15" i="1"/>
  <c r="I15" i="1" s="1"/>
  <c r="L15" i="1"/>
  <c r="L32" i="1" s="1"/>
  <c r="L3" i="1"/>
  <c r="L20" i="1" s="1"/>
  <c r="K3" i="1"/>
  <c r="I3" i="1" s="1"/>
  <c r="O4" i="1"/>
  <c r="O5" i="1"/>
  <c r="O6" i="1"/>
  <c r="O7" i="1"/>
  <c r="O8" i="1"/>
  <c r="O9" i="1"/>
  <c r="O10" i="1"/>
  <c r="O11" i="1"/>
  <c r="O12" i="1"/>
  <c r="O13" i="1"/>
  <c r="O14" i="1"/>
  <c r="O15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3" i="1"/>
  <c r="N4" i="1"/>
  <c r="O21" i="1" s="1"/>
  <c r="N5" i="1"/>
  <c r="O22" i="1" s="1"/>
  <c r="N6" i="1"/>
  <c r="O23" i="1" s="1"/>
  <c r="N7" i="1"/>
  <c r="O24" i="1" s="1"/>
  <c r="N8" i="1"/>
  <c r="O25" i="1" s="1"/>
  <c r="N9" i="1"/>
  <c r="O26" i="1" s="1"/>
  <c r="N10" i="1"/>
  <c r="O27" i="1" s="1"/>
  <c r="N11" i="1"/>
  <c r="O28" i="1" s="1"/>
  <c r="N12" i="1"/>
  <c r="O29" i="1" s="1"/>
  <c r="N13" i="1"/>
  <c r="O30" i="1" s="1"/>
  <c r="N14" i="1"/>
  <c r="O31" i="1" s="1"/>
  <c r="N15" i="1"/>
  <c r="O32" i="1" s="1"/>
  <c r="N3" i="1"/>
  <c r="O20" i="1" s="1"/>
  <c r="K21" i="1" l="1"/>
  <c r="I21" i="1" s="1"/>
  <c r="K20" i="1"/>
  <c r="I20" i="1" s="1"/>
  <c r="K29" i="1"/>
  <c r="I29" i="1" s="1"/>
  <c r="K25" i="1"/>
  <c r="I25" i="1" s="1"/>
  <c r="K24" i="1"/>
  <c r="I24" i="1" s="1"/>
  <c r="K23" i="1"/>
  <c r="I23" i="1" s="1"/>
  <c r="K22" i="1"/>
  <c r="I22" i="1" s="1"/>
  <c r="K32" i="1"/>
  <c r="I32" i="1" s="1"/>
  <c r="K31" i="1"/>
  <c r="I31" i="1" s="1"/>
  <c r="K30" i="1"/>
  <c r="I30" i="1" s="1"/>
  <c r="K28" i="1"/>
  <c r="I28" i="1" s="1"/>
</calcChain>
</file>

<file path=xl/sharedStrings.xml><?xml version="1.0" encoding="utf-8"?>
<sst xmlns="http://schemas.openxmlformats.org/spreadsheetml/2006/main" count="111" uniqueCount="20">
  <si>
    <t>wind_speed_lower_m</t>
  </si>
  <si>
    <t>wind_speed_upper_m</t>
  </si>
  <si>
    <t xml:space="preserve"> damage </t>
  </si>
  <si>
    <t>scenario</t>
  </si>
  <si>
    <t>source</t>
  </si>
  <si>
    <t xml:space="preserve"> -   </t>
  </si>
  <si>
    <t>baseline</t>
  </si>
  <si>
    <t>Miyamoto International (2019)</t>
  </si>
  <si>
    <t>low</t>
  </si>
  <si>
    <t>high</t>
  </si>
  <si>
    <t>Low</t>
  </si>
  <si>
    <t>Lower bound</t>
  </si>
  <si>
    <t>Upper bound</t>
  </si>
  <si>
    <t>Baseline</t>
  </si>
  <si>
    <t>High</t>
  </si>
  <si>
    <t>Vulnerability scenario</t>
  </si>
  <si>
    <t>Wind speed (m/s)</t>
  </si>
  <si>
    <t>km/hr</t>
  </si>
  <si>
    <t>Probability of failure</t>
  </si>
  <si>
    <t>Wind speed (km/hr)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</si>
</sst>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10" xfId="0" applyNumberFormat="1" applyBorder="1"/>
    <xf numFmtId="2" fontId="0" fillId="0" borderId="0" xfId="0" applyNumberFormat="1"/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Normal="100" workbookViewId="0">
      <selection activeCell="T20" sqref="T20"/>
    </sheetView>
  </sheetViews>
  <sheetFormatPr defaultRowHeight="14.4" x14ac:dyDescent="0.3"/>
  <cols>
    <col min="11" max="11" width="11.6640625" bestFit="1" customWidth="1"/>
    <col min="12" max="12" width="11.5546875" bestFit="1" customWidth="1"/>
    <col min="13" max="13" width="11.6640625" bestFit="1" customWidth="1"/>
    <col min="14" max="14" width="11.5546875" bestFit="1" customWidth="1"/>
    <col min="15" max="15" width="1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K1" s="1" t="s">
        <v>16</v>
      </c>
      <c r="L1" s="1"/>
      <c r="M1" s="3" t="s">
        <v>15</v>
      </c>
      <c r="N1" s="4"/>
      <c r="O1" s="5"/>
    </row>
    <row r="2" spans="1:15" x14ac:dyDescent="0.3">
      <c r="A2">
        <v>0</v>
      </c>
      <c r="B2">
        <v>10</v>
      </c>
      <c r="C2" t="s">
        <v>5</v>
      </c>
      <c r="D2" t="s">
        <v>6</v>
      </c>
      <c r="E2" t="s">
        <v>7</v>
      </c>
      <c r="I2" s="2" t="s">
        <v>17</v>
      </c>
      <c r="K2" s="2" t="s">
        <v>11</v>
      </c>
      <c r="L2" s="2" t="s">
        <v>12</v>
      </c>
      <c r="M2" s="2" t="s">
        <v>10</v>
      </c>
      <c r="N2" s="2" t="s">
        <v>13</v>
      </c>
      <c r="O2" s="2" t="s">
        <v>14</v>
      </c>
    </row>
    <row r="3" spans="1:15" x14ac:dyDescent="0.3">
      <c r="A3">
        <v>10</v>
      </c>
      <c r="B3">
        <v>20</v>
      </c>
      <c r="C3" t="s">
        <v>5</v>
      </c>
      <c r="D3" t="s">
        <v>6</v>
      </c>
      <c r="E3" t="s">
        <v>7</v>
      </c>
      <c r="I3" s="2">
        <f t="shared" ref="I3:I14" si="0">K3*3.6</f>
        <v>0</v>
      </c>
      <c r="K3" s="2">
        <f>A2</f>
        <v>0</v>
      </c>
      <c r="L3" s="2">
        <f>B2</f>
        <v>10</v>
      </c>
      <c r="M3" s="2" t="str">
        <f>C15</f>
        <v xml:space="preserve"> -   </v>
      </c>
      <c r="N3" s="2" t="str">
        <f>C2</f>
        <v xml:space="preserve"> -   </v>
      </c>
      <c r="O3" s="2" t="str">
        <f>C28</f>
        <v xml:space="preserve"> -   </v>
      </c>
    </row>
    <row r="4" spans="1:15" x14ac:dyDescent="0.3">
      <c r="A4">
        <v>20</v>
      </c>
      <c r="B4">
        <v>30</v>
      </c>
      <c r="C4" t="s">
        <v>5</v>
      </c>
      <c r="D4" t="s">
        <v>6</v>
      </c>
      <c r="E4" t="s">
        <v>7</v>
      </c>
      <c r="I4" s="2">
        <f t="shared" si="0"/>
        <v>36</v>
      </c>
      <c r="K4" s="2">
        <f t="shared" ref="K4:K15" si="1">A3</f>
        <v>10</v>
      </c>
      <c r="L4" s="2">
        <f t="shared" ref="L4:L15" si="2">B3</f>
        <v>20</v>
      </c>
      <c r="M4" s="2" t="str">
        <f>C16</f>
        <v xml:space="preserve"> -   </v>
      </c>
      <c r="N4" s="2" t="str">
        <f>C3</f>
        <v xml:space="preserve"> -   </v>
      </c>
      <c r="O4" s="2" t="str">
        <f>C29</f>
        <v xml:space="preserve"> -   </v>
      </c>
    </row>
    <row r="5" spans="1:15" x14ac:dyDescent="0.3">
      <c r="A5">
        <v>30</v>
      </c>
      <c r="B5">
        <v>40</v>
      </c>
      <c r="C5" t="s">
        <v>5</v>
      </c>
      <c r="D5" t="s">
        <v>6</v>
      </c>
      <c r="E5" t="s">
        <v>7</v>
      </c>
      <c r="I5" s="2">
        <f t="shared" si="0"/>
        <v>72</v>
      </c>
      <c r="K5" s="2">
        <f t="shared" si="1"/>
        <v>20</v>
      </c>
      <c r="L5" s="2">
        <f t="shared" si="2"/>
        <v>30</v>
      </c>
      <c r="M5" s="2" t="str">
        <f>C17</f>
        <v xml:space="preserve"> -   </v>
      </c>
      <c r="N5" s="2" t="str">
        <f>C4</f>
        <v xml:space="preserve"> -   </v>
      </c>
      <c r="O5" s="2" t="str">
        <f>C30</f>
        <v xml:space="preserve"> -   </v>
      </c>
    </row>
    <row r="6" spans="1:15" x14ac:dyDescent="0.3">
      <c r="A6">
        <v>40</v>
      </c>
      <c r="B6">
        <v>50</v>
      </c>
      <c r="C6" s="7">
        <v>0.06</v>
      </c>
      <c r="D6" t="s">
        <v>6</v>
      </c>
      <c r="E6" t="s">
        <v>7</v>
      </c>
      <c r="I6" s="2">
        <f t="shared" si="0"/>
        <v>108</v>
      </c>
      <c r="K6" s="2">
        <f t="shared" si="1"/>
        <v>30</v>
      </c>
      <c r="L6" s="2">
        <f t="shared" si="2"/>
        <v>40</v>
      </c>
      <c r="M6" s="2" t="str">
        <f>C18</f>
        <v xml:space="preserve"> -   </v>
      </c>
      <c r="N6" s="2" t="str">
        <f>C5</f>
        <v xml:space="preserve"> -   </v>
      </c>
      <c r="O6" s="2" t="str">
        <f>C31</f>
        <v xml:space="preserve"> -   </v>
      </c>
    </row>
    <row r="7" spans="1:15" x14ac:dyDescent="0.3">
      <c r="A7">
        <v>50</v>
      </c>
      <c r="B7">
        <v>60</v>
      </c>
      <c r="C7">
        <v>0.2</v>
      </c>
      <c r="D7" t="s">
        <v>6</v>
      </c>
      <c r="E7" t="s">
        <v>7</v>
      </c>
      <c r="I7" s="2">
        <f t="shared" si="0"/>
        <v>144</v>
      </c>
      <c r="K7" s="2">
        <f t="shared" si="1"/>
        <v>40</v>
      </c>
      <c r="L7" s="2">
        <f t="shared" si="2"/>
        <v>50</v>
      </c>
      <c r="M7" s="6">
        <f>C19</f>
        <v>0.04</v>
      </c>
      <c r="N7" s="6">
        <f>C6</f>
        <v>0.06</v>
      </c>
      <c r="O7" s="6">
        <f>C32</f>
        <v>7.0000000000000007E-2</v>
      </c>
    </row>
    <row r="8" spans="1:15" x14ac:dyDescent="0.3">
      <c r="A8">
        <v>60</v>
      </c>
      <c r="B8">
        <v>70</v>
      </c>
      <c r="C8">
        <v>0.73</v>
      </c>
      <c r="D8" t="s">
        <v>6</v>
      </c>
      <c r="E8" t="s">
        <v>7</v>
      </c>
      <c r="I8" s="2">
        <f t="shared" si="0"/>
        <v>180</v>
      </c>
      <c r="K8" s="2">
        <f t="shared" si="1"/>
        <v>50</v>
      </c>
      <c r="L8" s="2">
        <f t="shared" si="2"/>
        <v>60</v>
      </c>
      <c r="M8" s="6">
        <f>C20</f>
        <v>0.14000000000000001</v>
      </c>
      <c r="N8" s="6">
        <f>C7</f>
        <v>0.2</v>
      </c>
      <c r="O8" s="6">
        <f>C33</f>
        <v>0.26</v>
      </c>
    </row>
    <row r="9" spans="1:15" x14ac:dyDescent="0.3">
      <c r="A9">
        <v>70</v>
      </c>
      <c r="B9">
        <v>80</v>
      </c>
      <c r="C9">
        <v>0.98</v>
      </c>
      <c r="D9" t="s">
        <v>6</v>
      </c>
      <c r="E9" t="s">
        <v>7</v>
      </c>
      <c r="I9" s="2">
        <f t="shared" si="0"/>
        <v>216</v>
      </c>
      <c r="K9" s="2">
        <f t="shared" si="1"/>
        <v>60</v>
      </c>
      <c r="L9" s="2">
        <f t="shared" si="2"/>
        <v>70</v>
      </c>
      <c r="M9" s="6">
        <f>C21</f>
        <v>0.51</v>
      </c>
      <c r="N9" s="6">
        <f>C8</f>
        <v>0.73</v>
      </c>
      <c r="O9" s="6">
        <f>C34</f>
        <v>0.94</v>
      </c>
    </row>
    <row r="10" spans="1:15" x14ac:dyDescent="0.3">
      <c r="A10">
        <v>80</v>
      </c>
      <c r="B10">
        <v>90</v>
      </c>
      <c r="C10">
        <v>1</v>
      </c>
      <c r="D10" t="s">
        <v>6</v>
      </c>
      <c r="E10" t="s">
        <v>7</v>
      </c>
      <c r="I10" s="2">
        <f t="shared" si="0"/>
        <v>252</v>
      </c>
      <c r="K10" s="2">
        <f t="shared" si="1"/>
        <v>70</v>
      </c>
      <c r="L10" s="2">
        <f t="shared" si="2"/>
        <v>80</v>
      </c>
      <c r="M10" s="6">
        <f>C22</f>
        <v>0.69</v>
      </c>
      <c r="N10" s="6">
        <f>C9</f>
        <v>0.98</v>
      </c>
      <c r="O10" s="6">
        <f>C35</f>
        <v>1</v>
      </c>
    </row>
    <row r="11" spans="1:15" x14ac:dyDescent="0.3">
      <c r="A11">
        <v>90</v>
      </c>
      <c r="B11">
        <v>100</v>
      </c>
      <c r="C11">
        <v>1</v>
      </c>
      <c r="D11" t="s">
        <v>6</v>
      </c>
      <c r="E11" t="s">
        <v>7</v>
      </c>
      <c r="I11" s="2">
        <f t="shared" si="0"/>
        <v>288</v>
      </c>
      <c r="K11" s="2">
        <f t="shared" si="1"/>
        <v>80</v>
      </c>
      <c r="L11" s="2">
        <f t="shared" si="2"/>
        <v>90</v>
      </c>
      <c r="M11" s="6">
        <f>C23</f>
        <v>0.7</v>
      </c>
      <c r="N11" s="6">
        <f>C10</f>
        <v>1</v>
      </c>
      <c r="O11" s="6">
        <f>C36</f>
        <v>1</v>
      </c>
    </row>
    <row r="12" spans="1:15" x14ac:dyDescent="0.3">
      <c r="A12">
        <v>100</v>
      </c>
      <c r="B12">
        <v>110</v>
      </c>
      <c r="C12">
        <v>1</v>
      </c>
      <c r="D12" t="s">
        <v>6</v>
      </c>
      <c r="E12" t="s">
        <v>7</v>
      </c>
      <c r="I12" s="2">
        <f t="shared" si="0"/>
        <v>324</v>
      </c>
      <c r="K12" s="2">
        <f t="shared" si="1"/>
        <v>90</v>
      </c>
      <c r="L12" s="2">
        <f t="shared" si="2"/>
        <v>100</v>
      </c>
      <c r="M12" s="6">
        <f>C24</f>
        <v>0.7</v>
      </c>
      <c r="N12" s="6">
        <f>C11</f>
        <v>1</v>
      </c>
      <c r="O12" s="6">
        <f>C37</f>
        <v>1</v>
      </c>
    </row>
    <row r="13" spans="1:15" x14ac:dyDescent="0.3">
      <c r="A13">
        <v>110</v>
      </c>
      <c r="B13">
        <v>120</v>
      </c>
      <c r="C13">
        <v>1</v>
      </c>
      <c r="D13" t="s">
        <v>6</v>
      </c>
      <c r="E13" t="s">
        <v>7</v>
      </c>
      <c r="I13" s="2">
        <f t="shared" si="0"/>
        <v>360</v>
      </c>
      <c r="K13" s="2">
        <f t="shared" si="1"/>
        <v>100</v>
      </c>
      <c r="L13" s="2">
        <f t="shared" si="2"/>
        <v>110</v>
      </c>
      <c r="M13" s="6">
        <f>C25</f>
        <v>0.7</v>
      </c>
      <c r="N13" s="6">
        <f>C12</f>
        <v>1</v>
      </c>
      <c r="O13" s="6">
        <f>C38</f>
        <v>1</v>
      </c>
    </row>
    <row r="14" spans="1:15" x14ac:dyDescent="0.3">
      <c r="A14">
        <v>120</v>
      </c>
      <c r="B14">
        <v>500</v>
      </c>
      <c r="C14">
        <v>1</v>
      </c>
      <c r="D14" t="s">
        <v>6</v>
      </c>
      <c r="E14" t="s">
        <v>7</v>
      </c>
      <c r="I14" s="2">
        <f t="shared" si="0"/>
        <v>396</v>
      </c>
      <c r="K14" s="2">
        <f t="shared" si="1"/>
        <v>110</v>
      </c>
      <c r="L14" s="2">
        <f t="shared" si="2"/>
        <v>120</v>
      </c>
      <c r="M14" s="6">
        <f>C26</f>
        <v>0.7</v>
      </c>
      <c r="N14" s="6">
        <f>C13</f>
        <v>1</v>
      </c>
      <c r="O14" s="6">
        <f>C39</f>
        <v>1</v>
      </c>
    </row>
    <row r="15" spans="1:15" x14ac:dyDescent="0.3">
      <c r="A15">
        <v>0</v>
      </c>
      <c r="B15">
        <v>10</v>
      </c>
      <c r="C15" t="s">
        <v>5</v>
      </c>
      <c r="D15" t="s">
        <v>8</v>
      </c>
      <c r="E15" t="s">
        <v>7</v>
      </c>
      <c r="I15" s="2">
        <f>K15*3.6</f>
        <v>432</v>
      </c>
      <c r="K15" s="2">
        <f t="shared" si="1"/>
        <v>120</v>
      </c>
      <c r="L15" s="2">
        <f t="shared" si="2"/>
        <v>500</v>
      </c>
      <c r="M15" s="6">
        <f>C27</f>
        <v>0.7</v>
      </c>
      <c r="N15" s="6">
        <f>C14</f>
        <v>1</v>
      </c>
      <c r="O15" s="6">
        <f>C40</f>
        <v>1</v>
      </c>
    </row>
    <row r="16" spans="1:15" x14ac:dyDescent="0.3">
      <c r="A16">
        <v>10</v>
      </c>
      <c r="B16">
        <v>20</v>
      </c>
      <c r="C16" t="s">
        <v>5</v>
      </c>
      <c r="D16" t="s">
        <v>8</v>
      </c>
      <c r="E16" t="s">
        <v>7</v>
      </c>
    </row>
    <row r="17" spans="1:15" ht="15" thickBot="1" x14ac:dyDescent="0.35">
      <c r="A17">
        <v>20</v>
      </c>
      <c r="B17">
        <v>30</v>
      </c>
      <c r="C17" t="s">
        <v>5</v>
      </c>
      <c r="D17" t="s">
        <v>8</v>
      </c>
      <c r="E17" t="s">
        <v>7</v>
      </c>
    </row>
    <row r="18" spans="1:15" x14ac:dyDescent="0.3">
      <c r="A18">
        <v>30</v>
      </c>
      <c r="B18">
        <v>40</v>
      </c>
      <c r="C18" t="s">
        <v>5</v>
      </c>
      <c r="D18" t="s">
        <v>8</v>
      </c>
      <c r="E18" t="s">
        <v>7</v>
      </c>
      <c r="K18" s="8" t="s">
        <v>16</v>
      </c>
      <c r="L18" s="9"/>
      <c r="M18" s="9" t="s">
        <v>19</v>
      </c>
      <c r="N18" s="9"/>
      <c r="O18" s="10" t="s">
        <v>15</v>
      </c>
    </row>
    <row r="19" spans="1:15" x14ac:dyDescent="0.3">
      <c r="A19">
        <v>40</v>
      </c>
      <c r="B19">
        <v>50</v>
      </c>
      <c r="C19">
        <v>0.04</v>
      </c>
      <c r="D19" t="s">
        <v>8</v>
      </c>
      <c r="E19" t="s">
        <v>7</v>
      </c>
      <c r="K19" s="11" t="s">
        <v>11</v>
      </c>
      <c r="L19" s="12" t="s">
        <v>12</v>
      </c>
      <c r="M19" s="12" t="s">
        <v>11</v>
      </c>
      <c r="N19" s="12" t="s">
        <v>12</v>
      </c>
      <c r="O19" s="13" t="s">
        <v>18</v>
      </c>
    </row>
    <row r="20" spans="1:15" x14ac:dyDescent="0.3">
      <c r="A20">
        <v>50</v>
      </c>
      <c r="B20">
        <v>60</v>
      </c>
      <c r="C20">
        <v>0.14000000000000001</v>
      </c>
      <c r="D20" t="s">
        <v>8</v>
      </c>
      <c r="E20" t="s">
        <v>7</v>
      </c>
      <c r="I20">
        <f>K20*3.6</f>
        <v>0</v>
      </c>
      <c r="K20" s="11">
        <f>K3</f>
        <v>0</v>
      </c>
      <c r="L20" s="12">
        <f t="shared" ref="L20:N20" si="3">L3</f>
        <v>10</v>
      </c>
      <c r="M20" s="12">
        <f>K20*3.6</f>
        <v>0</v>
      </c>
      <c r="N20" s="12">
        <f>L20*3.6</f>
        <v>36</v>
      </c>
      <c r="O20" s="13" t="str">
        <f>N3</f>
        <v xml:space="preserve"> -   </v>
      </c>
    </row>
    <row r="21" spans="1:15" x14ac:dyDescent="0.3">
      <c r="A21">
        <v>60</v>
      </c>
      <c r="B21">
        <v>70</v>
      </c>
      <c r="C21">
        <v>0.51</v>
      </c>
      <c r="D21" t="s">
        <v>8</v>
      </c>
      <c r="E21" t="s">
        <v>7</v>
      </c>
      <c r="I21">
        <f t="shared" ref="I21:I32" si="4">K21*3.6</f>
        <v>36</v>
      </c>
      <c r="K21" s="11">
        <f t="shared" ref="K21:L21" si="5">K4</f>
        <v>10</v>
      </c>
      <c r="L21" s="12">
        <f t="shared" si="5"/>
        <v>20</v>
      </c>
      <c r="M21" s="12">
        <f t="shared" ref="M21:M32" si="6">K21*3.6</f>
        <v>36</v>
      </c>
      <c r="N21" s="12">
        <f t="shared" ref="N21:N32" si="7">L21*3.6</f>
        <v>72</v>
      </c>
      <c r="O21" s="13" t="str">
        <f>N4</f>
        <v xml:space="preserve"> -   </v>
      </c>
    </row>
    <row r="22" spans="1:15" x14ac:dyDescent="0.3">
      <c r="A22">
        <v>70</v>
      </c>
      <c r="B22">
        <v>80</v>
      </c>
      <c r="C22">
        <v>0.69</v>
      </c>
      <c r="D22" t="s">
        <v>8</v>
      </c>
      <c r="E22" t="s">
        <v>7</v>
      </c>
      <c r="I22">
        <f t="shared" si="4"/>
        <v>72</v>
      </c>
      <c r="K22" s="11">
        <f t="shared" ref="K22:L22" si="8">K5</f>
        <v>20</v>
      </c>
      <c r="L22" s="12">
        <f t="shared" si="8"/>
        <v>30</v>
      </c>
      <c r="M22" s="12">
        <f t="shared" si="6"/>
        <v>72</v>
      </c>
      <c r="N22" s="12">
        <f t="shared" si="7"/>
        <v>108</v>
      </c>
      <c r="O22" s="13" t="str">
        <f>N5</f>
        <v xml:space="preserve"> -   </v>
      </c>
    </row>
    <row r="23" spans="1:15" x14ac:dyDescent="0.3">
      <c r="A23">
        <v>80</v>
      </c>
      <c r="B23">
        <v>90</v>
      </c>
      <c r="C23">
        <v>0.7</v>
      </c>
      <c r="D23" t="s">
        <v>8</v>
      </c>
      <c r="E23" t="s">
        <v>7</v>
      </c>
      <c r="I23">
        <f t="shared" si="4"/>
        <v>108</v>
      </c>
      <c r="K23" s="11">
        <f t="shared" ref="K23:L23" si="9">K6</f>
        <v>30</v>
      </c>
      <c r="L23" s="12">
        <f t="shared" si="9"/>
        <v>40</v>
      </c>
      <c r="M23" s="12">
        <f t="shared" si="6"/>
        <v>108</v>
      </c>
      <c r="N23" s="12">
        <f t="shared" si="7"/>
        <v>144</v>
      </c>
      <c r="O23" s="13" t="str">
        <f>N6</f>
        <v xml:space="preserve"> -   </v>
      </c>
    </row>
    <row r="24" spans="1:15" x14ac:dyDescent="0.3">
      <c r="A24">
        <v>90</v>
      </c>
      <c r="B24">
        <v>100</v>
      </c>
      <c r="C24">
        <v>0.7</v>
      </c>
      <c r="D24" t="s">
        <v>8</v>
      </c>
      <c r="E24" t="s">
        <v>7</v>
      </c>
      <c r="I24">
        <f t="shared" si="4"/>
        <v>144</v>
      </c>
      <c r="K24" s="11">
        <f t="shared" ref="K24:L24" si="10">K7</f>
        <v>40</v>
      </c>
      <c r="L24" s="12">
        <f t="shared" si="10"/>
        <v>50</v>
      </c>
      <c r="M24" s="12">
        <f t="shared" si="6"/>
        <v>144</v>
      </c>
      <c r="N24" s="12">
        <f t="shared" si="7"/>
        <v>180</v>
      </c>
      <c r="O24" s="13">
        <f>N7</f>
        <v>0.06</v>
      </c>
    </row>
    <row r="25" spans="1:15" x14ac:dyDescent="0.3">
      <c r="A25">
        <v>100</v>
      </c>
      <c r="B25">
        <v>110</v>
      </c>
      <c r="C25">
        <v>0.7</v>
      </c>
      <c r="D25" t="s">
        <v>8</v>
      </c>
      <c r="E25" t="s">
        <v>7</v>
      </c>
      <c r="I25">
        <f t="shared" si="4"/>
        <v>180</v>
      </c>
      <c r="K25" s="11">
        <f t="shared" ref="K25:L25" si="11">K8</f>
        <v>50</v>
      </c>
      <c r="L25" s="12">
        <f t="shared" si="11"/>
        <v>60</v>
      </c>
      <c r="M25" s="12">
        <f t="shared" si="6"/>
        <v>180</v>
      </c>
      <c r="N25" s="12">
        <f t="shared" si="7"/>
        <v>216</v>
      </c>
      <c r="O25" s="13">
        <f>N8</f>
        <v>0.2</v>
      </c>
    </row>
    <row r="26" spans="1:15" x14ac:dyDescent="0.3">
      <c r="A26">
        <v>110</v>
      </c>
      <c r="B26">
        <v>120</v>
      </c>
      <c r="C26">
        <v>0.7</v>
      </c>
      <c r="D26" t="s">
        <v>8</v>
      </c>
      <c r="E26" t="s">
        <v>7</v>
      </c>
      <c r="I26">
        <f t="shared" si="4"/>
        <v>216</v>
      </c>
      <c r="K26" s="11">
        <f t="shared" ref="K26:L26" si="12">K9</f>
        <v>60</v>
      </c>
      <c r="L26" s="12">
        <f t="shared" si="12"/>
        <v>70</v>
      </c>
      <c r="M26" s="12">
        <f t="shared" si="6"/>
        <v>216</v>
      </c>
      <c r="N26" s="12">
        <f t="shared" si="7"/>
        <v>252</v>
      </c>
      <c r="O26" s="13">
        <f>N9</f>
        <v>0.73</v>
      </c>
    </row>
    <row r="27" spans="1:15" x14ac:dyDescent="0.3">
      <c r="A27">
        <v>120</v>
      </c>
      <c r="B27">
        <v>500</v>
      </c>
      <c r="C27">
        <v>0.7</v>
      </c>
      <c r="D27" t="s">
        <v>8</v>
      </c>
      <c r="E27" t="s">
        <v>7</v>
      </c>
      <c r="I27">
        <f t="shared" si="4"/>
        <v>252</v>
      </c>
      <c r="K27" s="11">
        <f t="shared" ref="K27:L27" si="13">K10</f>
        <v>70</v>
      </c>
      <c r="L27" s="12">
        <f t="shared" si="13"/>
        <v>80</v>
      </c>
      <c r="M27" s="12">
        <f t="shared" si="6"/>
        <v>252</v>
      </c>
      <c r="N27" s="12">
        <f t="shared" si="7"/>
        <v>288</v>
      </c>
      <c r="O27" s="13">
        <f>N10</f>
        <v>0.98</v>
      </c>
    </row>
    <row r="28" spans="1:15" x14ac:dyDescent="0.3">
      <c r="A28">
        <v>0</v>
      </c>
      <c r="B28">
        <v>10</v>
      </c>
      <c r="C28" t="s">
        <v>5</v>
      </c>
      <c r="D28" t="s">
        <v>9</v>
      </c>
      <c r="E28" t="s">
        <v>7</v>
      </c>
      <c r="I28">
        <f t="shared" si="4"/>
        <v>288</v>
      </c>
      <c r="K28" s="11">
        <f t="shared" ref="K28:L28" si="14">K11</f>
        <v>80</v>
      </c>
      <c r="L28" s="12">
        <f t="shared" si="14"/>
        <v>90</v>
      </c>
      <c r="M28" s="12">
        <f t="shared" si="6"/>
        <v>288</v>
      </c>
      <c r="N28" s="12">
        <f t="shared" si="7"/>
        <v>324</v>
      </c>
      <c r="O28" s="13">
        <f>N11</f>
        <v>1</v>
      </c>
    </row>
    <row r="29" spans="1:15" x14ac:dyDescent="0.3">
      <c r="A29">
        <v>10</v>
      </c>
      <c r="B29">
        <v>20</v>
      </c>
      <c r="C29" t="s">
        <v>5</v>
      </c>
      <c r="D29" t="s">
        <v>9</v>
      </c>
      <c r="E29" t="s">
        <v>7</v>
      </c>
      <c r="I29">
        <f t="shared" si="4"/>
        <v>324</v>
      </c>
      <c r="K29" s="11">
        <f t="shared" ref="K29:L29" si="15">K12</f>
        <v>90</v>
      </c>
      <c r="L29" s="12">
        <f t="shared" si="15"/>
        <v>100</v>
      </c>
      <c r="M29" s="12">
        <f t="shared" si="6"/>
        <v>324</v>
      </c>
      <c r="N29" s="12">
        <f t="shared" si="7"/>
        <v>360</v>
      </c>
      <c r="O29" s="13">
        <f>N12</f>
        <v>1</v>
      </c>
    </row>
    <row r="30" spans="1:15" x14ac:dyDescent="0.3">
      <c r="A30">
        <v>20</v>
      </c>
      <c r="B30">
        <v>30</v>
      </c>
      <c r="C30" t="s">
        <v>5</v>
      </c>
      <c r="D30" t="s">
        <v>9</v>
      </c>
      <c r="E30" t="s">
        <v>7</v>
      </c>
      <c r="I30">
        <f t="shared" si="4"/>
        <v>360</v>
      </c>
      <c r="K30" s="11">
        <f t="shared" ref="K30:L30" si="16">K13</f>
        <v>100</v>
      </c>
      <c r="L30" s="12">
        <f t="shared" si="16"/>
        <v>110</v>
      </c>
      <c r="M30" s="12">
        <f t="shared" si="6"/>
        <v>360</v>
      </c>
      <c r="N30" s="12">
        <f t="shared" si="7"/>
        <v>396</v>
      </c>
      <c r="O30" s="13">
        <f>N13</f>
        <v>1</v>
      </c>
    </row>
    <row r="31" spans="1:15" x14ac:dyDescent="0.3">
      <c r="A31">
        <v>30</v>
      </c>
      <c r="B31">
        <v>40</v>
      </c>
      <c r="C31" t="s">
        <v>5</v>
      </c>
      <c r="D31" t="s">
        <v>9</v>
      </c>
      <c r="E31" t="s">
        <v>7</v>
      </c>
      <c r="I31">
        <f t="shared" si="4"/>
        <v>396</v>
      </c>
      <c r="K31" s="11">
        <f t="shared" ref="K31:L31" si="17">K14</f>
        <v>110</v>
      </c>
      <c r="L31" s="12">
        <f t="shared" si="17"/>
        <v>120</v>
      </c>
      <c r="M31" s="12">
        <f t="shared" si="6"/>
        <v>396</v>
      </c>
      <c r="N31" s="12">
        <f t="shared" si="7"/>
        <v>432</v>
      </c>
      <c r="O31" s="13">
        <f>N14</f>
        <v>1</v>
      </c>
    </row>
    <row r="32" spans="1:15" ht="15" thickBot="1" x14ac:dyDescent="0.35">
      <c r="A32">
        <v>40</v>
      </c>
      <c r="B32">
        <v>50</v>
      </c>
      <c r="C32">
        <v>7.0000000000000007E-2</v>
      </c>
      <c r="D32" t="s">
        <v>9</v>
      </c>
      <c r="E32" t="s">
        <v>7</v>
      </c>
      <c r="I32">
        <f t="shared" si="4"/>
        <v>432</v>
      </c>
      <c r="K32" s="14">
        <f t="shared" ref="K32:L32" si="18">K15</f>
        <v>120</v>
      </c>
      <c r="L32" s="15">
        <f t="shared" si="18"/>
        <v>500</v>
      </c>
      <c r="M32" s="15">
        <f t="shared" si="6"/>
        <v>432</v>
      </c>
      <c r="N32" s="15">
        <f t="shared" si="7"/>
        <v>1800</v>
      </c>
      <c r="O32" s="16">
        <f>N15</f>
        <v>1</v>
      </c>
    </row>
    <row r="33" spans="1:5" x14ac:dyDescent="0.3">
      <c r="A33">
        <v>50</v>
      </c>
      <c r="B33">
        <v>60</v>
      </c>
      <c r="C33">
        <v>0.26</v>
      </c>
      <c r="D33" t="s">
        <v>9</v>
      </c>
      <c r="E33" t="s">
        <v>7</v>
      </c>
    </row>
    <row r="34" spans="1:5" x14ac:dyDescent="0.3">
      <c r="A34">
        <v>60</v>
      </c>
      <c r="B34">
        <v>70</v>
      </c>
      <c r="C34">
        <v>0.94</v>
      </c>
      <c r="D34" t="s">
        <v>9</v>
      </c>
      <c r="E34" t="s">
        <v>7</v>
      </c>
    </row>
    <row r="35" spans="1:5" x14ac:dyDescent="0.3">
      <c r="A35">
        <v>70</v>
      </c>
      <c r="B35">
        <v>80</v>
      </c>
      <c r="C35">
        <v>1</v>
      </c>
      <c r="D35" t="s">
        <v>9</v>
      </c>
      <c r="E35" t="s">
        <v>7</v>
      </c>
    </row>
    <row r="36" spans="1:5" x14ac:dyDescent="0.3">
      <c r="A36">
        <v>80</v>
      </c>
      <c r="B36">
        <v>90</v>
      </c>
      <c r="C36">
        <v>1</v>
      </c>
      <c r="D36" t="s">
        <v>9</v>
      </c>
      <c r="E36" t="s">
        <v>7</v>
      </c>
    </row>
    <row r="37" spans="1:5" x14ac:dyDescent="0.3">
      <c r="A37">
        <v>90</v>
      </c>
      <c r="B37">
        <v>100</v>
      </c>
      <c r="C37">
        <v>1</v>
      </c>
      <c r="D37" t="s">
        <v>9</v>
      </c>
      <c r="E37" t="s">
        <v>7</v>
      </c>
    </row>
    <row r="38" spans="1:5" x14ac:dyDescent="0.3">
      <c r="A38">
        <v>100</v>
      </c>
      <c r="B38">
        <v>110</v>
      </c>
      <c r="C38">
        <v>1</v>
      </c>
      <c r="D38" t="s">
        <v>9</v>
      </c>
      <c r="E38" t="s">
        <v>7</v>
      </c>
    </row>
    <row r="39" spans="1:5" x14ac:dyDescent="0.3">
      <c r="A39">
        <v>110</v>
      </c>
      <c r="B39">
        <v>120</v>
      </c>
      <c r="C39">
        <v>1</v>
      </c>
      <c r="D39" t="s">
        <v>9</v>
      </c>
      <c r="E39" t="s">
        <v>7</v>
      </c>
    </row>
    <row r="40" spans="1:5" x14ac:dyDescent="0.3">
      <c r="A40">
        <v>120</v>
      </c>
      <c r="B40">
        <v>500</v>
      </c>
      <c r="C40">
        <v>1</v>
      </c>
      <c r="D40" t="s">
        <v>9</v>
      </c>
      <c r="E40" t="s">
        <v>7</v>
      </c>
    </row>
  </sheetData>
  <mergeCells count="4">
    <mergeCell ref="K1:L1"/>
    <mergeCell ref="M1:O1"/>
    <mergeCell ref="K18:L18"/>
    <mergeCell ref="M18:N18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fragility_curve_tropical_storm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John Oughton</dc:creator>
  <cp:lastModifiedBy>Edward John Oughton</cp:lastModifiedBy>
  <dcterms:created xsi:type="dcterms:W3CDTF">2026-01-01T16:41:27Z</dcterms:created>
  <dcterms:modified xsi:type="dcterms:W3CDTF">2026-01-01T21:32:51Z</dcterms:modified>
</cp:coreProperties>
</file>